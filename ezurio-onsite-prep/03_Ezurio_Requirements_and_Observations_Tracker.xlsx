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 Requirements" sheetId="2" state="visible" r:id="rId2"/>
    <sheet xmlns:r="http://schemas.openxmlformats.org/officeDocument/2006/relationships" name="2 Observations" sheetId="3" state="visible" r:id="rId3"/>
    <sheet xmlns:r="http://schemas.openxmlformats.org/officeDocument/2006/relationships" name="3 Irvine Backlog" sheetId="4" state="visible" r:id="rId4"/>
    <sheet xmlns:r="http://schemas.openxmlformats.org/officeDocument/2006/relationships" name="4 GWTrack Features" sheetId="5" state="visible" r:id="rId5"/>
    <sheet xmlns:r="http://schemas.openxmlformats.org/officeDocument/2006/relationships" name="5 Option Scoring" sheetId="6" state="visible" r:id="rId6"/>
    <sheet xmlns:r="http://schemas.openxmlformats.org/officeDocument/2006/relationships" name="6 Open Items" sheetId="7" state="visible" r:id="rId7"/>
  </sheets>
  <definedNames>
    <definedName name="_xlnm._FilterDatabase" localSheetId="1" hidden="1">'1 Requirements'!$A$1:$P$34</definedName>
    <definedName name="_xlnm._FilterDatabase" localSheetId="2" hidden="1">'2 Observations'!$A$1:$K$2</definedName>
    <definedName name="_xlnm._FilterDatabase" localSheetId="3" hidden="1">'3 Irvine Backlog'!$A$1:$J$9</definedName>
    <definedName name="_xlnm._FilterDatabase" localSheetId="4" hidden="1">'4 GWTrack Features'!$A$1:$K$25</definedName>
    <definedName name="_xlnm._FilterDatabase" localSheetId="6" hidden="1">'6 Open Items'!$A$1:$E$11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Ezurio – Requirements &amp; Observations Tracker</t>
        </is>
      </c>
    </row>
    <row r="2">
      <c r="A2" s="2" t="inlineStr">
        <is>
          <t>Oct 19–21, 2026 onsite discovery (Gateworks SLO + Irvine). INTERNAL working file.</t>
        </is>
      </c>
    </row>
    <row r="3">
      <c r="A3" s="2" t="inlineStr"/>
    </row>
    <row r="4">
      <c r="A4" s="1" t="inlineStr">
        <is>
          <t>Tabs</t>
        </is>
      </c>
    </row>
    <row r="5">
      <c r="A5" s="2" t="inlineStr">
        <is>
          <t>1 Requirements – candidate requirements seeded from the engagement letter 'Key Areas of Focus'. Status = Hypothesis until validated onsite. Add rows as you go; keep IDs sequential.</t>
        </is>
      </c>
    </row>
    <row r="6">
      <c r="A6" s="2" t="inlineStr">
        <is>
          <t>2 Observations – raw observation log by session (what we saw/heard). Link each to a requirement ID where relevant.</t>
        </is>
      </c>
    </row>
    <row r="7">
      <c r="A7" s="2" t="inlineStr">
        <is>
          <t>3 Irvine Backlog – optimization ideas for Irvine with value/effort; cross-check against the Azure DevOps backlog to avoid duplicates.</t>
        </is>
      </c>
    </row>
    <row r="8">
      <c r="A8" s="2" t="inlineStr">
        <is>
          <t>4 GWTrack Features – feature inventory captured during the GWTrack demo (what exists, where it should live: GWTrack / NetSuite / Arena / MES).</t>
        </is>
      </c>
    </row>
    <row r="9">
      <c r="A9" s="2" t="inlineStr">
        <is>
          <t>5 Option Scoring – weighted scoring of system Options A (GWTrack), B (Manufacturing Mobile / Advanced Mfg), C (3rd-party MES / SuiteApp). Footprint options are NOT scored onsite.</t>
        </is>
      </c>
    </row>
    <row r="10">
      <c r="A10" s="2" t="inlineStr">
        <is>
          <t>6 Open Items – follow-ups, documents requested and owners.</t>
        </is>
      </c>
    </row>
    <row r="11">
      <c r="A11" s="2" t="inlineStr"/>
    </row>
    <row r="12">
      <c r="A12" s="1" t="inlineStr">
        <is>
          <t>Conventions</t>
        </is>
      </c>
    </row>
    <row r="13">
      <c r="A13" s="2" t="inlineStr">
        <is>
          <t>Priority: Must / Should / Could (MoSCoW). Fit: Native / Config / Custom / Gap / TBD.</t>
        </is>
      </c>
    </row>
    <row r="14">
      <c r="A14" s="2" t="inlineStr">
        <is>
          <t>ITAR/CUI flag: Y if the capability/data is potentially controlled – do not share the underlying detail with non-US persons until compliance confirms.</t>
        </is>
      </c>
    </row>
    <row r="15">
      <c r="A15" s="2" t="inlineStr">
        <is>
          <t>Confidentiality: no references to acquisition activity, a third site or consolidation anywhere in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58" customWidth="1" min="3" max="3"/>
    <col width="28" customWidth="1" min="4" max="4"/>
    <col width="10" customWidth="1" min="5" max="5"/>
    <col width="10" customWidth="1" min="6" max="6"/>
    <col width="26" customWidth="1" min="7" max="7"/>
    <col width="26" customWidth="1" min="8" max="8"/>
    <col width="10" customWidth="1" min="9" max="9"/>
    <col width="11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35" customWidth="1" min="16" max="16"/>
  </cols>
  <sheetData>
    <row r="1" ht="32" customHeight="1">
      <c r="A1" s="3" t="inlineStr">
        <is>
          <t>Req ID</t>
        </is>
      </c>
      <c r="B1" s="3" t="inlineStr">
        <is>
          <t>Area</t>
        </is>
      </c>
      <c r="C1" s="3" t="inlineStr">
        <is>
          <t>Requirement (what the future system must do)</t>
        </is>
      </c>
      <c r="D1" s="3" t="inlineStr">
        <is>
          <t>Source</t>
        </is>
      </c>
      <c r="E1" s="3" t="inlineStr">
        <is>
          <t>Site</t>
        </is>
      </c>
      <c r="F1" s="3" t="inlineStr">
        <is>
          <t>Session</t>
        </is>
      </c>
      <c r="G1" s="3" t="inlineStr">
        <is>
          <t>Current state: GWTrack</t>
        </is>
      </c>
      <c r="H1" s="3" t="inlineStr">
        <is>
          <t>Current state: Irvine (NetSuite/MM)</t>
        </is>
      </c>
      <c r="I1" s="3" t="inlineStr">
        <is>
          <t>Priority</t>
        </is>
      </c>
      <c r="J1" s="3" t="inlineStr">
        <is>
          <t>Fit A: GWTrack</t>
        </is>
      </c>
      <c r="K1" s="3" t="inlineStr">
        <is>
          <t>Fit B: NetSuite MM/Adv Mfg</t>
        </is>
      </c>
      <c r="L1" s="3" t="inlineStr">
        <is>
          <t>Fit C: 3rd-party MES/SuiteApp</t>
        </is>
      </c>
      <c r="M1" s="3" t="inlineStr">
        <is>
          <t>ITAR/CUI flag</t>
        </is>
      </c>
      <c r="N1" s="3" t="inlineStr">
        <is>
          <t>Owner</t>
        </is>
      </c>
      <c r="O1" s="3" t="inlineStr">
        <is>
          <t>Status</t>
        </is>
      </c>
      <c r="P1" s="3" t="inlineStr">
        <is>
          <t>Notes / evidence</t>
        </is>
      </c>
    </row>
    <row r="2">
      <c r="A2" s="4" t="inlineStr">
        <is>
          <t>REQ-001</t>
        </is>
      </c>
      <c r="B2" s="4" t="inlineStr">
        <is>
          <t>Work execution</t>
        </is>
      </c>
      <c r="C2" s="4" t="inlineStr">
        <is>
          <t>Release work orders to the floor with routing, work instructions and revision control</t>
        </is>
      </c>
      <c r="D2" s="4" t="inlineStr">
        <is>
          <t>EL focus: GWTrack fit</t>
        </is>
      </c>
      <c r="E2" s="4" t="inlineStr">
        <is>
          <t>Both</t>
        </is>
      </c>
      <c r="F2" s="4" t="inlineStr">
        <is>
          <t>1.3 / 3.2</t>
        </is>
      </c>
      <c r="G2" s="4" t="inlineStr"/>
      <c r="H2" s="4" t="inlineStr"/>
      <c r="I2" s="4" t="inlineStr"/>
      <c r="J2" s="4" t="inlineStr">
        <is>
          <t>TBD</t>
        </is>
      </c>
      <c r="K2" s="4" t="inlineStr">
        <is>
          <t>TBD</t>
        </is>
      </c>
      <c r="L2" s="4" t="inlineStr">
        <is>
          <t>TBD</t>
        </is>
      </c>
      <c r="M2" s="4" t="inlineStr"/>
      <c r="N2" s="4" t="inlineStr"/>
      <c r="O2" s="4" t="inlineStr">
        <is>
          <t>Hypothesis</t>
        </is>
      </c>
      <c r="P2" s="4" t="inlineStr"/>
    </row>
    <row r="3">
      <c r="A3" s="4" t="inlineStr">
        <is>
          <t>REQ-002</t>
        </is>
      </c>
      <c r="B3" s="4" t="inlineStr">
        <is>
          <t>Work execution</t>
        </is>
      </c>
      <c r="C3" s="4" t="inlineStr">
        <is>
          <t>Operators start / pause / complete operations at the station with scan-driven transactions</t>
        </is>
      </c>
      <c r="D3" s="4" t="inlineStr">
        <is>
          <t>EL focus: MM timekeeping</t>
        </is>
      </c>
      <c r="E3" s="4" t="inlineStr">
        <is>
          <t>Both</t>
        </is>
      </c>
      <c r="F3" s="4" t="inlineStr">
        <is>
          <t>1.3 / 3.3</t>
        </is>
      </c>
      <c r="G3" s="4" t="inlineStr"/>
      <c r="H3" s="4" t="inlineStr"/>
      <c r="I3" s="4" t="inlineStr"/>
      <c r="J3" s="4" t="inlineStr">
        <is>
          <t>TBD</t>
        </is>
      </c>
      <c r="K3" s="4" t="inlineStr">
        <is>
          <t>TBD</t>
        </is>
      </c>
      <c r="L3" s="4" t="inlineStr">
        <is>
          <t>TBD</t>
        </is>
      </c>
      <c r="M3" s="4" t="inlineStr"/>
      <c r="N3" s="4" t="inlineStr"/>
      <c r="O3" s="4" t="inlineStr">
        <is>
          <t>Hypothesis</t>
        </is>
      </c>
      <c r="P3" s="4" t="inlineStr"/>
    </row>
    <row r="4">
      <c r="A4" s="4" t="inlineStr">
        <is>
          <t>REQ-003</t>
        </is>
      </c>
      <c r="B4" s="4" t="inlineStr">
        <is>
          <t>Work execution</t>
        </is>
      </c>
      <c r="C4" s="4" t="inlineStr">
        <is>
          <t>Enforce operation sequence and validations (no out-of-sequence or missing-prior-step completions)</t>
        </is>
      </c>
      <c r="D4" s="4" t="inlineStr">
        <is>
          <t>EL focus: process control gaps</t>
        </is>
      </c>
      <c r="E4" s="4" t="inlineStr">
        <is>
          <t>Both</t>
        </is>
      </c>
      <c r="F4" s="4" t="inlineStr">
        <is>
          <t>1.3</t>
        </is>
      </c>
      <c r="G4" s="4" t="inlineStr"/>
      <c r="H4" s="4" t="inlineStr"/>
      <c r="I4" s="4" t="inlineStr"/>
      <c r="J4" s="4" t="inlineStr">
        <is>
          <t>TBD</t>
        </is>
      </c>
      <c r="K4" s="4" t="inlineStr">
        <is>
          <t>TBD</t>
        </is>
      </c>
      <c r="L4" s="4" t="inlineStr">
        <is>
          <t>TBD</t>
        </is>
      </c>
      <c r="M4" s="4" t="inlineStr"/>
      <c r="N4" s="4" t="inlineStr"/>
      <c r="O4" s="4" t="inlineStr">
        <is>
          <t>Hypothesis</t>
        </is>
      </c>
      <c r="P4" s="4" t="inlineStr"/>
    </row>
    <row r="5">
      <c r="A5" s="4" t="inlineStr">
        <is>
          <t>REQ-004</t>
        </is>
      </c>
      <c r="B5" s="4" t="inlineStr">
        <is>
          <t>Work execution</t>
        </is>
      </c>
      <c r="C5" s="4" t="inlineStr">
        <is>
          <t>Handle partial quantities and rework loops per operation</t>
        </is>
      </c>
      <c r="D5" s="4" t="inlineStr">
        <is>
          <t>MM process outline</t>
        </is>
      </c>
      <c r="E5" s="4" t="inlineStr">
        <is>
          <t>Irvine</t>
        </is>
      </c>
      <c r="F5" s="4" t="inlineStr">
        <is>
          <t>3.3</t>
        </is>
      </c>
      <c r="G5" s="4" t="inlineStr"/>
      <c r="H5" s="4" t="inlineStr"/>
      <c r="I5" s="4" t="inlineStr"/>
      <c r="J5" s="4" t="inlineStr">
        <is>
          <t>TBD</t>
        </is>
      </c>
      <c r="K5" s="4" t="inlineStr">
        <is>
          <t>TBD</t>
        </is>
      </c>
      <c r="L5" s="4" t="inlineStr">
        <is>
          <t>TBD</t>
        </is>
      </c>
      <c r="M5" s="4" t="inlineStr"/>
      <c r="N5" s="4" t="inlineStr"/>
      <c r="O5" s="4" t="inlineStr">
        <is>
          <t>Hypothesis</t>
        </is>
      </c>
      <c r="P5" s="4" t="inlineStr"/>
    </row>
    <row r="6">
      <c r="A6" s="4" t="inlineStr">
        <is>
          <t>REQ-005</t>
        </is>
      </c>
      <c r="B6" s="4" t="inlineStr">
        <is>
          <t>Material control</t>
        </is>
      </c>
      <c r="C6" s="4" t="inlineStr">
        <is>
          <t>Prevent / warn on starting a run without sufficient committed component material</t>
        </is>
      </c>
      <c r="D6" s="4" t="inlineStr">
        <is>
          <t>EL focus: material availability checks</t>
        </is>
      </c>
      <c r="E6" s="4" t="inlineStr">
        <is>
          <t>Irvine</t>
        </is>
      </c>
      <c r="F6" s="4" t="inlineStr">
        <is>
          <t>3.3</t>
        </is>
      </c>
      <c r="G6" s="4" t="inlineStr"/>
      <c r="H6" s="4" t="inlineStr"/>
      <c r="I6" s="4" t="inlineStr"/>
      <c r="J6" s="4" t="inlineStr">
        <is>
          <t>TBD</t>
        </is>
      </c>
      <c r="K6" s="4" t="inlineStr">
        <is>
          <t>TBD</t>
        </is>
      </c>
      <c r="L6" s="4" t="inlineStr">
        <is>
          <t>TBD</t>
        </is>
      </c>
      <c r="M6" s="4" t="inlineStr"/>
      <c r="N6" s="4" t="inlineStr"/>
      <c r="O6" s="4" t="inlineStr">
        <is>
          <t>Hypothesis</t>
        </is>
      </c>
      <c r="P6" s="4" t="inlineStr"/>
    </row>
    <row r="7">
      <c r="A7" s="4" t="inlineStr">
        <is>
          <t>REQ-006</t>
        </is>
      </c>
      <c r="B7" s="4" t="inlineStr">
        <is>
          <t>Material control</t>
        </is>
      </c>
      <c r="C7" s="4" t="inlineStr">
        <is>
          <t>Support kitting / staging with one-WO-per-location control and visibility of under-picked items</t>
        </is>
      </c>
      <c r="D7" s="4" t="inlineStr">
        <is>
          <t>Irvine WMS process</t>
        </is>
      </c>
      <c r="E7" s="4" t="inlineStr">
        <is>
          <t>Irvine</t>
        </is>
      </c>
      <c r="F7" s="4" t="inlineStr">
        <is>
          <t>3.2</t>
        </is>
      </c>
      <c r="G7" s="4" t="inlineStr"/>
      <c r="H7" s="4" t="inlineStr"/>
      <c r="I7" s="4" t="inlineStr"/>
      <c r="J7" s="4" t="inlineStr">
        <is>
          <t>TBD</t>
        </is>
      </c>
      <c r="K7" s="4" t="inlineStr">
        <is>
          <t>TBD</t>
        </is>
      </c>
      <c r="L7" s="4" t="inlineStr">
        <is>
          <t>TBD</t>
        </is>
      </c>
      <c r="M7" s="4" t="inlineStr"/>
      <c r="N7" s="4" t="inlineStr"/>
      <c r="O7" s="4" t="inlineStr">
        <is>
          <t>Hypothesis</t>
        </is>
      </c>
      <c r="P7" s="4" t="inlineStr"/>
    </row>
    <row r="8">
      <c r="A8" s="4" t="inlineStr">
        <is>
          <t>REQ-007</t>
        </is>
      </c>
      <c r="B8" s="4" t="inlineStr">
        <is>
          <t>Material control</t>
        </is>
      </c>
      <c r="C8" s="4" t="inlineStr">
        <is>
          <t>Issue / backflush components with accurate inventory detail (bin / lot)</t>
        </is>
      </c>
      <c r="D8" s="4" t="inlineStr">
        <is>
          <t>Irvine WMS process</t>
        </is>
      </c>
      <c r="E8" s="4" t="inlineStr">
        <is>
          <t>Both</t>
        </is>
      </c>
      <c r="F8" s="4" t="inlineStr">
        <is>
          <t>1.3 / 3.2</t>
        </is>
      </c>
      <c r="G8" s="4" t="inlineStr"/>
      <c r="H8" s="4" t="inlineStr"/>
      <c r="I8" s="4" t="inlineStr"/>
      <c r="J8" s="4" t="inlineStr">
        <is>
          <t>TBD</t>
        </is>
      </c>
      <c r="K8" s="4" t="inlineStr">
        <is>
          <t>TBD</t>
        </is>
      </c>
      <c r="L8" s="4" t="inlineStr">
        <is>
          <t>TBD</t>
        </is>
      </c>
      <c r="M8" s="4" t="inlineStr"/>
      <c r="N8" s="4" t="inlineStr"/>
      <c r="O8" s="4" t="inlineStr">
        <is>
          <t>Hypothesis</t>
        </is>
      </c>
      <c r="P8" s="4" t="inlineStr"/>
    </row>
    <row r="9">
      <c r="A9" s="4" t="inlineStr">
        <is>
          <t>REQ-008</t>
        </is>
      </c>
      <c r="B9" s="4" t="inlineStr">
        <is>
          <t>Material control</t>
        </is>
      </c>
      <c r="C9" s="4" t="inlineStr">
        <is>
          <t>Manage substitutions / alternates and shortages with expedite visibility</t>
        </is>
      </c>
      <c r="D9" s="4" t="inlineStr">
        <is>
          <t>Ops walk</t>
        </is>
      </c>
      <c r="E9" s="4" t="inlineStr">
        <is>
          <t>Both</t>
        </is>
      </c>
      <c r="F9" s="4" t="inlineStr">
        <is>
          <t>1.2</t>
        </is>
      </c>
      <c r="G9" s="4" t="inlineStr"/>
      <c r="H9" s="4" t="inlineStr"/>
      <c r="I9" s="4" t="inlineStr"/>
      <c r="J9" s="4" t="inlineStr">
        <is>
          <t>TBD</t>
        </is>
      </c>
      <c r="K9" s="4" t="inlineStr">
        <is>
          <t>TBD</t>
        </is>
      </c>
      <c r="L9" s="4" t="inlineStr">
        <is>
          <t>TBD</t>
        </is>
      </c>
      <c r="M9" s="4" t="inlineStr"/>
      <c r="N9" s="4" t="inlineStr"/>
      <c r="O9" s="4" t="inlineStr">
        <is>
          <t>Hypothesis</t>
        </is>
      </c>
      <c r="P9" s="4" t="inlineStr"/>
    </row>
    <row r="10">
      <c r="A10" s="4" t="inlineStr">
        <is>
          <t>REQ-009</t>
        </is>
      </c>
      <c r="B10" s="4" t="inlineStr">
        <is>
          <t>Costing</t>
        </is>
      </c>
      <c r="C10" s="4" t="inlineStr">
        <is>
          <t>Block or flag production when an assembly has no standard cost; maintain standard cost with approvals</t>
        </is>
      </c>
      <c r="D10" s="4" t="inlineStr">
        <is>
          <t>EL focus: standard cost enforcement</t>
        </is>
      </c>
      <c r="E10" s="4" t="inlineStr">
        <is>
          <t>Irvine</t>
        </is>
      </c>
      <c r="F10" s="4" t="inlineStr">
        <is>
          <t>3.3</t>
        </is>
      </c>
      <c r="G10" s="4" t="inlineStr"/>
      <c r="H10" s="4" t="inlineStr"/>
      <c r="I10" s="4" t="inlineStr"/>
      <c r="J10" s="4" t="inlineStr">
        <is>
          <t>TBD</t>
        </is>
      </c>
      <c r="K10" s="4" t="inlineStr">
        <is>
          <t>TBD</t>
        </is>
      </c>
      <c r="L10" s="4" t="inlineStr">
        <is>
          <t>TBD</t>
        </is>
      </c>
      <c r="M10" s="4" t="inlineStr"/>
      <c r="N10" s="4" t="inlineStr"/>
      <c r="O10" s="4" t="inlineStr">
        <is>
          <t>Hypothesis</t>
        </is>
      </c>
      <c r="P10" s="4" t="inlineStr"/>
    </row>
    <row r="11">
      <c r="A11" s="4" t="inlineStr">
        <is>
          <t>REQ-010</t>
        </is>
      </c>
      <c r="B11" s="4" t="inlineStr">
        <is>
          <t>Costing</t>
        </is>
      </c>
      <c r="C11" s="4" t="inlineStr">
        <is>
          <t>Post WIP, scrap, labor and variances to NetSuite accurately and on time</t>
        </is>
      </c>
      <c r="D11" s="4" t="inlineStr">
        <is>
          <t>Ops walk</t>
        </is>
      </c>
      <c r="E11" s="4" t="inlineStr">
        <is>
          <t>Both</t>
        </is>
      </c>
      <c r="F11" s="4" t="inlineStr">
        <is>
          <t>1.4 / 3.3</t>
        </is>
      </c>
      <c r="G11" s="4" t="inlineStr"/>
      <c r="H11" s="4" t="inlineStr"/>
      <c r="I11" s="4" t="inlineStr"/>
      <c r="J11" s="4" t="inlineStr">
        <is>
          <t>TBD</t>
        </is>
      </c>
      <c r="K11" s="4" t="inlineStr">
        <is>
          <t>TBD</t>
        </is>
      </c>
      <c r="L11" s="4" t="inlineStr">
        <is>
          <t>TBD</t>
        </is>
      </c>
      <c r="M11" s="4" t="inlineStr"/>
      <c r="N11" s="4" t="inlineStr"/>
      <c r="O11" s="4" t="inlineStr">
        <is>
          <t>Hypothesis</t>
        </is>
      </c>
      <c r="P11" s="4" t="inlineStr"/>
    </row>
    <row r="12">
      <c r="A12" s="4" t="inlineStr">
        <is>
          <t>REQ-011</t>
        </is>
      </c>
      <c r="B12" s="4" t="inlineStr">
        <is>
          <t>Labor / timekeeping</t>
        </is>
      </c>
      <c r="C12" s="4" t="inlineStr">
        <is>
          <t>Capture labor by operation/job (badge-in, pause, end) including indirect, rework and multi-operator time</t>
        </is>
      </c>
      <c r="D12" s="4" t="inlineStr">
        <is>
          <t>EL focus: timekeeping gaps</t>
        </is>
      </c>
      <c r="E12" s="4" t="inlineStr">
        <is>
          <t>Both</t>
        </is>
      </c>
      <c r="F12" s="4" t="inlineStr">
        <is>
          <t>1.4 / 3.3</t>
        </is>
      </c>
      <c r="G12" s="4" t="inlineStr"/>
      <c r="H12" s="4" t="inlineStr"/>
      <c r="I12" s="4" t="inlineStr"/>
      <c r="J12" s="4" t="inlineStr">
        <is>
          <t>TBD</t>
        </is>
      </c>
      <c r="K12" s="4" t="inlineStr">
        <is>
          <t>TBD</t>
        </is>
      </c>
      <c r="L12" s="4" t="inlineStr">
        <is>
          <t>TBD</t>
        </is>
      </c>
      <c r="M12" s="4" t="inlineStr"/>
      <c r="N12" s="4" t="inlineStr"/>
      <c r="O12" s="4" t="inlineStr">
        <is>
          <t>Hypothesis</t>
        </is>
      </c>
      <c r="P12" s="4" t="inlineStr"/>
    </row>
    <row r="13">
      <c r="A13" s="4" t="inlineStr">
        <is>
          <t>REQ-012</t>
        </is>
      </c>
      <c r="B13" s="4" t="inlineStr">
        <is>
          <t>Labor / timekeeping</t>
        </is>
      </c>
      <c r="C13" s="4" t="inlineStr">
        <is>
          <t>Provide labor efficiency and cost reporting; hand-off to payroll if required</t>
        </is>
      </c>
      <c r="D13" s="4" t="inlineStr">
        <is>
          <t>EL focus: timekeeping gaps</t>
        </is>
      </c>
      <c r="E13" s="4" t="inlineStr">
        <is>
          <t>Both</t>
        </is>
      </c>
      <c r="F13" s="4" t="inlineStr">
        <is>
          <t>1.4 / 3.3</t>
        </is>
      </c>
      <c r="G13" s="4" t="inlineStr"/>
      <c r="H13" s="4" t="inlineStr"/>
      <c r="I13" s="4" t="inlineStr"/>
      <c r="J13" s="4" t="inlineStr">
        <is>
          <t>TBD</t>
        </is>
      </c>
      <c r="K13" s="4" t="inlineStr">
        <is>
          <t>TBD</t>
        </is>
      </c>
      <c r="L13" s="4" t="inlineStr">
        <is>
          <t>TBD</t>
        </is>
      </c>
      <c r="M13" s="4" t="inlineStr"/>
      <c r="N13" s="4" t="inlineStr"/>
      <c r="O13" s="4" t="inlineStr">
        <is>
          <t>Hypothesis</t>
        </is>
      </c>
      <c r="P13" s="4" t="inlineStr"/>
    </row>
    <row r="14">
      <c r="A14" s="4" t="inlineStr">
        <is>
          <t>REQ-013</t>
        </is>
      </c>
      <c r="B14" s="4" t="inlineStr">
        <is>
          <t>Traceability</t>
        </is>
      </c>
      <c r="C14" s="4" t="inlineStr">
        <is>
          <t>Maintain lot / serial / as-built genealogy and answer containment queries quickly</t>
        </is>
      </c>
      <c r="D14" s="4" t="inlineStr">
        <is>
          <t>GWTrack features</t>
        </is>
      </c>
      <c r="E14" s="4" t="inlineStr">
        <is>
          <t>Gateworks</t>
        </is>
      </c>
      <c r="F14" s="4" t="inlineStr">
        <is>
          <t>1.3</t>
        </is>
      </c>
      <c r="G14" s="4" t="inlineStr"/>
      <c r="H14" s="4" t="inlineStr"/>
      <c r="I14" s="4" t="inlineStr"/>
      <c r="J14" s="4" t="inlineStr">
        <is>
          <t>TBD</t>
        </is>
      </c>
      <c r="K14" s="4" t="inlineStr">
        <is>
          <t>TBD</t>
        </is>
      </c>
      <c r="L14" s="4" t="inlineStr">
        <is>
          <t>TBD</t>
        </is>
      </c>
      <c r="M14" s="4" t="inlineStr"/>
      <c r="N14" s="4" t="inlineStr"/>
      <c r="O14" s="4" t="inlineStr">
        <is>
          <t>Hypothesis</t>
        </is>
      </c>
      <c r="P14" s="4" t="inlineStr"/>
    </row>
    <row r="15">
      <c r="A15" s="4" t="inlineStr">
        <is>
          <t>REQ-014</t>
        </is>
      </c>
      <c r="B15" s="4" t="inlineStr">
        <is>
          <t>Traceability</t>
        </is>
      </c>
      <c r="C15" s="4" t="inlineStr">
        <is>
          <t>Retain test results and operator / equipment records per unit</t>
        </is>
      </c>
      <c r="D15" s="4" t="inlineStr">
        <is>
          <t>GWTrack features</t>
        </is>
      </c>
      <c r="E15" s="4" t="inlineStr">
        <is>
          <t>Gateworks</t>
        </is>
      </c>
      <c r="F15" s="4" t="inlineStr">
        <is>
          <t>1.3</t>
        </is>
      </c>
      <c r="G15" s="4" t="inlineStr"/>
      <c r="H15" s="4" t="inlineStr"/>
      <c r="I15" s="4" t="inlineStr"/>
      <c r="J15" s="4" t="inlineStr">
        <is>
          <t>TBD</t>
        </is>
      </c>
      <c r="K15" s="4" t="inlineStr">
        <is>
          <t>TBD</t>
        </is>
      </c>
      <c r="L15" s="4" t="inlineStr">
        <is>
          <t>TBD</t>
        </is>
      </c>
      <c r="M15" s="4" t="inlineStr"/>
      <c r="N15" s="4" t="inlineStr"/>
      <c r="O15" s="4" t="inlineStr">
        <is>
          <t>Hypothesis</t>
        </is>
      </c>
      <c r="P15" s="4" t="inlineStr"/>
    </row>
    <row r="16">
      <c r="A16" s="4" t="inlineStr">
        <is>
          <t>REQ-015</t>
        </is>
      </c>
      <c r="B16" s="4" t="inlineStr">
        <is>
          <t>Quality</t>
        </is>
      </c>
      <c r="C16" s="4" t="inlineStr">
        <is>
          <t>Capture defects at point of work with coded reasons and produce defect heatmaps</t>
        </is>
      </c>
      <c r="D16" s="4" t="inlineStr">
        <is>
          <t>EL focus: quality tracking</t>
        </is>
      </c>
      <c r="E16" s="4" t="inlineStr">
        <is>
          <t>Both</t>
        </is>
      </c>
      <c r="F16" s="4" t="inlineStr">
        <is>
          <t>1.4 / 3.4</t>
        </is>
      </c>
      <c r="G16" s="4" t="inlineStr"/>
      <c r="H16" s="4" t="inlineStr"/>
      <c r="I16" s="4" t="inlineStr"/>
      <c r="J16" s="4" t="inlineStr">
        <is>
          <t>TBD</t>
        </is>
      </c>
      <c r="K16" s="4" t="inlineStr">
        <is>
          <t>TBD</t>
        </is>
      </c>
      <c r="L16" s="4" t="inlineStr">
        <is>
          <t>TBD</t>
        </is>
      </c>
      <c r="M16" s="4" t="inlineStr"/>
      <c r="N16" s="4" t="inlineStr"/>
      <c r="O16" s="4" t="inlineStr">
        <is>
          <t>Hypothesis</t>
        </is>
      </c>
      <c r="P16" s="4" t="inlineStr"/>
    </row>
    <row r="17">
      <c r="A17" s="4" t="inlineStr">
        <is>
          <t>REQ-016</t>
        </is>
      </c>
      <c r="B17" s="4" t="inlineStr">
        <is>
          <t>Quality</t>
        </is>
      </c>
      <c r="C17" s="4" t="inlineStr">
        <is>
          <t>Manage NCR / rework / scrap disposition integrated to inventory and cost</t>
        </is>
      </c>
      <c r="D17" s="4" t="inlineStr">
        <is>
          <t>EL focus: quality tracking</t>
        </is>
      </c>
      <c r="E17" s="4" t="inlineStr">
        <is>
          <t>Both</t>
        </is>
      </c>
      <c r="F17" s="4" t="inlineStr">
        <is>
          <t>1.4 / 3.4</t>
        </is>
      </c>
      <c r="G17" s="4" t="inlineStr"/>
      <c r="H17" s="4" t="inlineStr"/>
      <c r="I17" s="4" t="inlineStr"/>
      <c r="J17" s="4" t="inlineStr">
        <is>
          <t>TBD</t>
        </is>
      </c>
      <c r="K17" s="4" t="inlineStr">
        <is>
          <t>TBD</t>
        </is>
      </c>
      <c r="L17" s="4" t="inlineStr">
        <is>
          <t>TBD</t>
        </is>
      </c>
      <c r="M17" s="4" t="inlineStr"/>
      <c r="N17" s="4" t="inlineStr"/>
      <c r="O17" s="4" t="inlineStr">
        <is>
          <t>Hypothesis</t>
        </is>
      </c>
      <c r="P17" s="4" t="inlineStr"/>
    </row>
    <row r="18">
      <c r="A18" s="4" t="inlineStr">
        <is>
          <t>REQ-017</t>
        </is>
      </c>
      <c r="B18" s="4" t="inlineStr">
        <is>
          <t>Quality</t>
        </is>
      </c>
      <c r="C18" s="4" t="inlineStr">
        <is>
          <t>Track customer returns (RMA) from receipt through disposition with trace to original build</t>
        </is>
      </c>
      <c r="D18" s="4" t="inlineStr">
        <is>
          <t>EL focus: manual RMA</t>
        </is>
      </c>
      <c r="E18" s="4" t="inlineStr">
        <is>
          <t>Both</t>
        </is>
      </c>
      <c r="F18" s="4" t="inlineStr">
        <is>
          <t>1.4 / 3.4</t>
        </is>
      </c>
      <c r="G18" s="4" t="inlineStr"/>
      <c r="H18" s="4" t="inlineStr"/>
      <c r="I18" s="4" t="inlineStr"/>
      <c r="J18" s="4" t="inlineStr">
        <is>
          <t>TBD</t>
        </is>
      </c>
      <c r="K18" s="4" t="inlineStr">
        <is>
          <t>TBD</t>
        </is>
      </c>
      <c r="L18" s="4" t="inlineStr">
        <is>
          <t>TBD</t>
        </is>
      </c>
      <c r="M18" s="4" t="inlineStr"/>
      <c r="N18" s="4" t="inlineStr"/>
      <c r="O18" s="4" t="inlineStr">
        <is>
          <t>Hypothesis</t>
        </is>
      </c>
      <c r="P18" s="4" t="inlineStr"/>
    </row>
    <row r="19">
      <c r="A19" s="4" t="inlineStr">
        <is>
          <t>REQ-018</t>
        </is>
      </c>
      <c r="B19" s="4" t="inlineStr">
        <is>
          <t>Quality</t>
        </is>
      </c>
      <c r="C19" s="4" t="inlineStr">
        <is>
          <t>Support corrective action (CAPA / 8D) and audit-ready quality records</t>
        </is>
      </c>
      <c r="D19" s="4" t="inlineStr">
        <is>
          <t>Ops walk</t>
        </is>
      </c>
      <c r="E19" s="4" t="inlineStr">
        <is>
          <t>Gateworks</t>
        </is>
      </c>
      <c r="F19" s="4" t="inlineStr">
        <is>
          <t>1.4</t>
        </is>
      </c>
      <c r="G19" s="4" t="inlineStr"/>
      <c r="H19" s="4" t="inlineStr"/>
      <c r="I19" s="4" t="inlineStr"/>
      <c r="J19" s="4" t="inlineStr">
        <is>
          <t>TBD</t>
        </is>
      </c>
      <c r="K19" s="4" t="inlineStr">
        <is>
          <t>TBD</t>
        </is>
      </c>
      <c r="L19" s="4" t="inlineStr">
        <is>
          <t>TBD</t>
        </is>
      </c>
      <c r="M19" s="4" t="inlineStr"/>
      <c r="N19" s="4" t="inlineStr"/>
      <c r="O19" s="4" t="inlineStr">
        <is>
          <t>Hypothesis</t>
        </is>
      </c>
      <c r="P19" s="4" t="inlineStr"/>
    </row>
    <row r="20">
      <c r="A20" s="4" t="inlineStr">
        <is>
          <t>REQ-019</t>
        </is>
      </c>
      <c r="B20" s="4" t="inlineStr">
        <is>
          <t>Inventory / WMS</t>
        </is>
      </c>
      <c r="C20" s="4" t="inlineStr">
        <is>
          <t>Post-production reconciliation of issued vs. actual components without manual template/import steps</t>
        </is>
      </c>
      <c r="D20" s="4" t="inlineStr">
        <is>
          <t>Irvine dekit process</t>
        </is>
      </c>
      <c r="E20" s="4" t="inlineStr">
        <is>
          <t>Irvine</t>
        </is>
      </c>
      <c r="F20" s="4" t="inlineStr">
        <is>
          <t>3.4</t>
        </is>
      </c>
      <c r="G20" s="4" t="inlineStr"/>
      <c r="H20" s="4" t="inlineStr"/>
      <c r="I20" s="4" t="inlineStr"/>
      <c r="J20" s="4" t="inlineStr">
        <is>
          <t>TBD</t>
        </is>
      </c>
      <c r="K20" s="4" t="inlineStr">
        <is>
          <t>TBD</t>
        </is>
      </c>
      <c r="L20" s="4" t="inlineStr">
        <is>
          <t>TBD</t>
        </is>
      </c>
      <c r="M20" s="4" t="inlineStr"/>
      <c r="N20" s="4" t="inlineStr"/>
      <c r="O20" s="4" t="inlineStr">
        <is>
          <t>Hypothesis</t>
        </is>
      </c>
      <c r="P20" s="4" t="inlineStr"/>
    </row>
    <row r="21">
      <c r="A21" s="4" t="inlineStr">
        <is>
          <t>REQ-020</t>
        </is>
      </c>
      <c r="B21" s="4" t="inlineStr">
        <is>
          <t>Inventory / WMS</t>
        </is>
      </c>
      <c r="C21" s="4" t="inlineStr">
        <is>
          <t>Prevent partial-pick side effects (task closes / reverse picks) or handle them gracefully</t>
        </is>
      </c>
      <c r="D21" s="4" t="inlineStr">
        <is>
          <t>Irvine WMS process</t>
        </is>
      </c>
      <c r="E21" s="4" t="inlineStr">
        <is>
          <t>Irvine</t>
        </is>
      </c>
      <c r="F21" s="4" t="inlineStr">
        <is>
          <t>3.2</t>
        </is>
      </c>
      <c r="G21" s="4" t="inlineStr"/>
      <c r="H21" s="4" t="inlineStr"/>
      <c r="I21" s="4" t="inlineStr"/>
      <c r="J21" s="4" t="inlineStr">
        <is>
          <t>TBD</t>
        </is>
      </c>
      <c r="K21" s="4" t="inlineStr">
        <is>
          <t>TBD</t>
        </is>
      </c>
      <c r="L21" s="4" t="inlineStr">
        <is>
          <t>TBD</t>
        </is>
      </c>
      <c r="M21" s="4" t="inlineStr"/>
      <c r="N21" s="4" t="inlineStr"/>
      <c r="O21" s="4" t="inlineStr">
        <is>
          <t>Hypothesis</t>
        </is>
      </c>
      <c r="P21" s="4" t="inlineStr"/>
    </row>
    <row r="22">
      <c r="A22" s="4" t="inlineStr">
        <is>
          <t>REQ-021</t>
        </is>
      </c>
      <c r="B22" s="4" t="inlineStr">
        <is>
          <t>Engineering / PLM</t>
        </is>
      </c>
      <c r="C22" s="4" t="inlineStr">
        <is>
          <t>Receive BOM / routing / ECO changes from Arena (or successor) without re-keying</t>
        </is>
      </c>
      <c r="D22" s="4" t="inlineStr">
        <is>
          <t>Client update: Arena rationalization</t>
        </is>
      </c>
      <c r="E22" s="4" t="inlineStr">
        <is>
          <t>Gateworks</t>
        </is>
      </c>
      <c r="F22" s="4" t="inlineStr">
        <is>
          <t>2.1</t>
        </is>
      </c>
      <c r="G22" s="4" t="inlineStr"/>
      <c r="H22" s="4" t="inlineStr"/>
      <c r="I22" s="4" t="inlineStr"/>
      <c r="J22" s="4" t="inlineStr">
        <is>
          <t>TBD</t>
        </is>
      </c>
      <c r="K22" s="4" t="inlineStr">
        <is>
          <t>TBD</t>
        </is>
      </c>
      <c r="L22" s="4" t="inlineStr">
        <is>
          <t>TBD</t>
        </is>
      </c>
      <c r="M22" s="4" t="inlineStr"/>
      <c r="N22" s="4" t="inlineStr"/>
      <c r="O22" s="4" t="inlineStr">
        <is>
          <t>Hypothesis</t>
        </is>
      </c>
      <c r="P22" s="4" t="inlineStr"/>
    </row>
    <row r="23">
      <c r="A23" s="4" t="inlineStr">
        <is>
          <t>REQ-022</t>
        </is>
      </c>
      <c r="B23" s="4" t="inlineStr">
        <is>
          <t>Integration</t>
        </is>
      </c>
      <c r="C23" s="4" t="inlineStr">
        <is>
          <t>Define system of record by function across GWTrack / NetSuite / Arena and eliminate duplicate masters</t>
        </is>
      </c>
      <c r="D23" s="4" t="inlineStr">
        <is>
          <t>Client update</t>
        </is>
      </c>
      <c r="E23" s="4" t="inlineStr">
        <is>
          <t>Gateworks</t>
        </is>
      </c>
      <c r="F23" s="4" t="inlineStr">
        <is>
          <t>2.1</t>
        </is>
      </c>
      <c r="G23" s="4" t="inlineStr"/>
      <c r="H23" s="4" t="inlineStr"/>
      <c r="I23" s="4" t="inlineStr"/>
      <c r="J23" s="4" t="inlineStr">
        <is>
          <t>TBD</t>
        </is>
      </c>
      <c r="K23" s="4" t="inlineStr">
        <is>
          <t>TBD</t>
        </is>
      </c>
      <c r="L23" s="4" t="inlineStr">
        <is>
          <t>TBD</t>
        </is>
      </c>
      <c r="M23" s="4" t="inlineStr"/>
      <c r="N23" s="4" t="inlineStr"/>
      <c r="O23" s="4" t="inlineStr">
        <is>
          <t>Hypothesis</t>
        </is>
      </c>
      <c r="P23" s="4" t="inlineStr"/>
    </row>
    <row r="24">
      <c r="A24" s="4" t="inlineStr">
        <is>
          <t>REQ-023</t>
        </is>
      </c>
      <c r="B24" s="4" t="inlineStr">
        <is>
          <t>Integration</t>
        </is>
      </c>
      <c r="C24" s="4" t="inlineStr">
        <is>
          <t>Integrate with floor equipment, test stations and label printers</t>
        </is>
      </c>
      <c r="D24" s="4" t="inlineStr">
        <is>
          <t>GWTrack features</t>
        </is>
      </c>
      <c r="E24" s="4" t="inlineStr">
        <is>
          <t>Gateworks</t>
        </is>
      </c>
      <c r="F24" s="4" t="inlineStr">
        <is>
          <t>1.3 / 2.1</t>
        </is>
      </c>
      <c r="G24" s="4" t="inlineStr"/>
      <c r="H24" s="4" t="inlineStr"/>
      <c r="I24" s="4" t="inlineStr"/>
      <c r="J24" s="4" t="inlineStr">
        <is>
          <t>TBD</t>
        </is>
      </c>
      <c r="K24" s="4" t="inlineStr">
        <is>
          <t>TBD</t>
        </is>
      </c>
      <c r="L24" s="4" t="inlineStr">
        <is>
          <t>TBD</t>
        </is>
      </c>
      <c r="M24" s="4" t="inlineStr"/>
      <c r="N24" s="4" t="inlineStr"/>
      <c r="O24" s="4" t="inlineStr">
        <is>
          <t>Hypothesis</t>
        </is>
      </c>
      <c r="P24" s="4" t="inlineStr"/>
    </row>
    <row r="25">
      <c r="A25" s="4" t="inlineStr">
        <is>
          <t>REQ-024</t>
        </is>
      </c>
      <c r="B25" s="4" t="inlineStr">
        <is>
          <t>Compliance</t>
        </is>
      </c>
      <c r="C25" s="4" t="inlineStr">
        <is>
          <t>Support ITAR / CUI handling: access by US-person, data residency and segregation</t>
        </is>
      </c>
      <c r="D25" s="4" t="inlineStr">
        <is>
          <t>EL focus: ITAR / CUI</t>
        </is>
      </c>
      <c r="E25" s="4" t="inlineStr">
        <is>
          <t>Gateworks</t>
        </is>
      </c>
      <c r="F25" s="4" t="inlineStr">
        <is>
          <t>2.2</t>
        </is>
      </c>
      <c r="G25" s="4" t="inlineStr"/>
      <c r="H25" s="4" t="inlineStr"/>
      <c r="I25" s="4" t="inlineStr"/>
      <c r="J25" s="4" t="inlineStr">
        <is>
          <t>TBD</t>
        </is>
      </c>
      <c r="K25" s="4" t="inlineStr">
        <is>
          <t>TBD</t>
        </is>
      </c>
      <c r="L25" s="4" t="inlineStr">
        <is>
          <t>TBD</t>
        </is>
      </c>
      <c r="M25" s="4" t="inlineStr"/>
      <c r="N25" s="4" t="inlineStr"/>
      <c r="O25" s="4" t="inlineStr">
        <is>
          <t>Hypothesis</t>
        </is>
      </c>
      <c r="P25" s="4" t="inlineStr"/>
    </row>
    <row r="26">
      <c r="A26" s="4" t="inlineStr">
        <is>
          <t>REQ-025</t>
        </is>
      </c>
      <c r="B26" s="4" t="inlineStr">
        <is>
          <t>Compliance</t>
        </is>
      </c>
      <c r="C26" s="4" t="inlineStr">
        <is>
          <t>Provide electronic records, audit trail and retention to meet customer / quality-system audits</t>
        </is>
      </c>
      <c r="D26" s="4" t="inlineStr">
        <is>
          <t>Ops walk</t>
        </is>
      </c>
      <c r="E26" s="4" t="inlineStr">
        <is>
          <t>Both</t>
        </is>
      </c>
      <c r="F26" s="4" t="inlineStr">
        <is>
          <t>2.2</t>
        </is>
      </c>
      <c r="G26" s="4" t="inlineStr"/>
      <c r="H26" s="4" t="inlineStr"/>
      <c r="I26" s="4" t="inlineStr"/>
      <c r="J26" s="4" t="inlineStr">
        <is>
          <t>TBD</t>
        </is>
      </c>
      <c r="K26" s="4" t="inlineStr">
        <is>
          <t>TBD</t>
        </is>
      </c>
      <c r="L26" s="4" t="inlineStr">
        <is>
          <t>TBD</t>
        </is>
      </c>
      <c r="M26" s="4" t="inlineStr"/>
      <c r="N26" s="4" t="inlineStr"/>
      <c r="O26" s="4" t="inlineStr">
        <is>
          <t>Hypothesis</t>
        </is>
      </c>
      <c r="P26" s="4" t="inlineStr"/>
    </row>
    <row r="27">
      <c r="A27" s="4" t="inlineStr">
        <is>
          <t>REQ-026</t>
        </is>
      </c>
      <c r="B27" s="4" t="inlineStr">
        <is>
          <t>Security</t>
        </is>
      </c>
      <c r="C27" s="4" t="inlineStr">
        <is>
          <t>Role-based access and segregation of duties for floor and office users</t>
        </is>
      </c>
      <c r="D27" s="4" t="inlineStr">
        <is>
          <t>Ops walk</t>
        </is>
      </c>
      <c r="E27" s="4" t="inlineStr">
        <is>
          <t>Both</t>
        </is>
      </c>
      <c r="F27" s="4" t="inlineStr">
        <is>
          <t>2.2</t>
        </is>
      </c>
      <c r="G27" s="4" t="inlineStr"/>
      <c r="H27" s="4" t="inlineStr"/>
      <c r="I27" s="4" t="inlineStr"/>
      <c r="J27" s="4" t="inlineStr">
        <is>
          <t>TBD</t>
        </is>
      </c>
      <c r="K27" s="4" t="inlineStr">
        <is>
          <t>TBD</t>
        </is>
      </c>
      <c r="L27" s="4" t="inlineStr">
        <is>
          <t>TBD</t>
        </is>
      </c>
      <c r="M27" s="4" t="inlineStr"/>
      <c r="N27" s="4" t="inlineStr"/>
      <c r="O27" s="4" t="inlineStr">
        <is>
          <t>Hypothesis</t>
        </is>
      </c>
      <c r="P27" s="4" t="inlineStr"/>
    </row>
    <row r="28">
      <c r="A28" s="4" t="inlineStr">
        <is>
          <t>REQ-027</t>
        </is>
      </c>
      <c r="B28" s="4" t="inlineStr">
        <is>
          <t>Reporting</t>
        </is>
      </c>
      <c r="C28" s="4" t="inlineStr">
        <is>
          <t>Provide real-time floor dashboards and daily operational reports (WIP, queue, shortages, yield)</t>
        </is>
      </c>
      <c r="D28" s="4" t="inlineStr">
        <is>
          <t>GWTrack features</t>
        </is>
      </c>
      <c r="E28" s="4" t="inlineStr">
        <is>
          <t>Both</t>
        </is>
      </c>
      <c r="F28" s="4" t="inlineStr">
        <is>
          <t>1.3 / 2.1</t>
        </is>
      </c>
      <c r="G28" s="4" t="inlineStr"/>
      <c r="H28" s="4" t="inlineStr"/>
      <c r="I28" s="4" t="inlineStr"/>
      <c r="J28" s="4" t="inlineStr">
        <is>
          <t>TBD</t>
        </is>
      </c>
      <c r="K28" s="4" t="inlineStr">
        <is>
          <t>TBD</t>
        </is>
      </c>
      <c r="L28" s="4" t="inlineStr">
        <is>
          <t>TBD</t>
        </is>
      </c>
      <c r="M28" s="4" t="inlineStr"/>
      <c r="N28" s="4" t="inlineStr"/>
      <c r="O28" s="4" t="inlineStr">
        <is>
          <t>Hypothesis</t>
        </is>
      </c>
      <c r="P28" s="4" t="inlineStr"/>
    </row>
    <row r="29">
      <c r="A29" s="4" t="inlineStr">
        <is>
          <t>REQ-028</t>
        </is>
      </c>
      <c r="B29" s="4" t="inlineStr">
        <is>
          <t>Reporting</t>
        </is>
      </c>
      <c r="C29" s="4" t="inlineStr">
        <is>
          <t>Ad hoc / saved reporting without developer support</t>
        </is>
      </c>
      <c r="D29" s="4" t="inlineStr">
        <is>
          <t>Ops walk</t>
        </is>
      </c>
      <c r="E29" s="4" t="inlineStr">
        <is>
          <t>Both</t>
        </is>
      </c>
      <c r="F29" s="4" t="inlineStr">
        <is>
          <t>2.1 / 3.4</t>
        </is>
      </c>
      <c r="G29" s="4" t="inlineStr"/>
      <c r="H29" s="4" t="inlineStr"/>
      <c r="I29" s="4" t="inlineStr"/>
      <c r="J29" s="4" t="inlineStr">
        <is>
          <t>TBD</t>
        </is>
      </c>
      <c r="K29" s="4" t="inlineStr">
        <is>
          <t>TBD</t>
        </is>
      </c>
      <c r="L29" s="4" t="inlineStr">
        <is>
          <t>TBD</t>
        </is>
      </c>
      <c r="M29" s="4" t="inlineStr"/>
      <c r="N29" s="4" t="inlineStr"/>
      <c r="O29" s="4" t="inlineStr">
        <is>
          <t>Hypothesis</t>
        </is>
      </c>
      <c r="P29" s="4" t="inlineStr"/>
    </row>
    <row r="30">
      <c r="A30" s="4" t="inlineStr">
        <is>
          <t>REQ-029</t>
        </is>
      </c>
      <c r="B30" s="4" t="inlineStr">
        <is>
          <t>Performance</t>
        </is>
      </c>
      <c r="C30" s="4" t="inlineStr">
        <is>
          <t>Station transactions respond within agreed time at peak load</t>
        </is>
      </c>
      <c r="D30" s="4" t="inlineStr">
        <is>
          <t>Client update: keep performance</t>
        </is>
      </c>
      <c r="E30" s="4" t="inlineStr">
        <is>
          <t>Both</t>
        </is>
      </c>
      <c r="F30" s="4" t="inlineStr">
        <is>
          <t>2.3</t>
        </is>
      </c>
      <c r="G30" s="4" t="inlineStr"/>
      <c r="H30" s="4" t="inlineStr"/>
      <c r="I30" s="4" t="inlineStr"/>
      <c r="J30" s="4" t="inlineStr">
        <is>
          <t>TBD</t>
        </is>
      </c>
      <c r="K30" s="4" t="inlineStr">
        <is>
          <t>TBD</t>
        </is>
      </c>
      <c r="L30" s="4" t="inlineStr">
        <is>
          <t>TBD</t>
        </is>
      </c>
      <c r="M30" s="4" t="inlineStr"/>
      <c r="N30" s="4" t="inlineStr"/>
      <c r="O30" s="4" t="inlineStr">
        <is>
          <t>Hypothesis</t>
        </is>
      </c>
      <c r="P30" s="4" t="inlineStr"/>
    </row>
    <row r="31">
      <c r="A31" s="4" t="inlineStr">
        <is>
          <t>REQ-030</t>
        </is>
      </c>
      <c r="B31" s="4" t="inlineStr">
        <is>
          <t>Performance</t>
        </is>
      </c>
      <c r="C31" s="4" t="inlineStr">
        <is>
          <t>Continue operating (or recover cleanly) when network / ERP is unavailable</t>
        </is>
      </c>
      <c r="D31" s="4" t="inlineStr">
        <is>
          <t>Client update: keep automation</t>
        </is>
      </c>
      <c r="E31" s="4" t="inlineStr">
        <is>
          <t>Gateworks</t>
        </is>
      </c>
      <c r="F31" s="4" t="inlineStr">
        <is>
          <t>2.3</t>
        </is>
      </c>
      <c r="G31" s="4" t="inlineStr"/>
      <c r="H31" s="4" t="inlineStr"/>
      <c r="I31" s="4" t="inlineStr"/>
      <c r="J31" s="4" t="inlineStr">
        <is>
          <t>TBD</t>
        </is>
      </c>
      <c r="K31" s="4" t="inlineStr">
        <is>
          <t>TBD</t>
        </is>
      </c>
      <c r="L31" s="4" t="inlineStr">
        <is>
          <t>TBD</t>
        </is>
      </c>
      <c r="M31" s="4" t="inlineStr"/>
      <c r="N31" s="4" t="inlineStr"/>
      <c r="O31" s="4" t="inlineStr">
        <is>
          <t>Hypothesis</t>
        </is>
      </c>
      <c r="P31" s="4" t="inlineStr"/>
    </row>
    <row r="32">
      <c r="A32" s="4" t="inlineStr">
        <is>
          <t>REQ-031</t>
        </is>
      </c>
      <c r="B32" s="4" t="inlineStr">
        <is>
          <t>Automation</t>
        </is>
      </c>
      <c r="C32" s="4" t="inlineStr">
        <is>
          <t>Preserve existing GWTrack automations (auto-transactions, auto-completes, auto-labeling) – list to be confirmed</t>
        </is>
      </c>
      <c r="D32" s="4" t="inlineStr">
        <is>
          <t>Client update: keep automation</t>
        </is>
      </c>
      <c r="E32" s="4" t="inlineStr">
        <is>
          <t>Gateworks</t>
        </is>
      </c>
      <c r="F32" s="4" t="inlineStr">
        <is>
          <t>1.3 / 2.3</t>
        </is>
      </c>
      <c r="G32" s="4" t="inlineStr"/>
      <c r="H32" s="4" t="inlineStr"/>
      <c r="I32" s="4" t="inlineStr"/>
      <c r="J32" s="4" t="inlineStr">
        <is>
          <t>TBD</t>
        </is>
      </c>
      <c r="K32" s="4" t="inlineStr">
        <is>
          <t>TBD</t>
        </is>
      </c>
      <c r="L32" s="4" t="inlineStr">
        <is>
          <t>TBD</t>
        </is>
      </c>
      <c r="M32" s="4" t="inlineStr"/>
      <c r="N32" s="4" t="inlineStr"/>
      <c r="O32" s="4" t="inlineStr">
        <is>
          <t>Hypothesis</t>
        </is>
      </c>
      <c r="P32" s="4" t="inlineStr"/>
    </row>
    <row r="33">
      <c r="A33" s="4" t="inlineStr">
        <is>
          <t>REQ-032</t>
        </is>
      </c>
      <c r="B33" s="4" t="inlineStr">
        <is>
          <t>Scalability</t>
        </is>
      </c>
      <c r="C33" s="4" t="inlineStr">
        <is>
          <t>Scale to additional users / lines / entities without redesign</t>
        </is>
      </c>
      <c r="D33" s="4" t="inlineStr">
        <is>
          <t>EL / assessment: GWTrack not built to extend</t>
        </is>
      </c>
      <c r="E33" s="4" t="inlineStr">
        <is>
          <t>Both</t>
        </is>
      </c>
      <c r="F33" s="4" t="inlineStr">
        <is>
          <t>2.3</t>
        </is>
      </c>
      <c r="G33" s="4" t="inlineStr"/>
      <c r="H33" s="4" t="inlineStr"/>
      <c r="I33" s="4" t="inlineStr"/>
      <c r="J33" s="4" t="inlineStr">
        <is>
          <t>TBD</t>
        </is>
      </c>
      <c r="K33" s="4" t="inlineStr">
        <is>
          <t>TBD</t>
        </is>
      </c>
      <c r="L33" s="4" t="inlineStr">
        <is>
          <t>TBD</t>
        </is>
      </c>
      <c r="M33" s="4" t="inlineStr"/>
      <c r="N33" s="4" t="inlineStr"/>
      <c r="O33" s="4" t="inlineStr">
        <is>
          <t>Hypothesis</t>
        </is>
      </c>
      <c r="P33" s="4" t="inlineStr"/>
    </row>
    <row r="34">
      <c r="A34" s="4" t="inlineStr">
        <is>
          <t>REQ-033</t>
        </is>
      </c>
      <c r="B34" s="4" t="inlineStr">
        <is>
          <t>Supportability</t>
        </is>
      </c>
      <c r="C34" s="4" t="inlineStr">
        <is>
          <t>Vendor-supported platform with clear ownership; remove key-person risk</t>
        </is>
      </c>
      <c r="D34" s="4" t="inlineStr">
        <is>
          <t>Ops walk</t>
        </is>
      </c>
      <c r="E34" s="4" t="inlineStr">
        <is>
          <t>Gateworks</t>
        </is>
      </c>
      <c r="F34" s="4" t="inlineStr">
        <is>
          <t>2.1</t>
        </is>
      </c>
      <c r="G34" s="4" t="inlineStr"/>
      <c r="H34" s="4" t="inlineStr"/>
      <c r="I34" s="4" t="inlineStr"/>
      <c r="J34" s="4" t="inlineStr">
        <is>
          <t>TBD</t>
        </is>
      </c>
      <c r="K34" s="4" t="inlineStr">
        <is>
          <t>TBD</t>
        </is>
      </c>
      <c r="L34" s="4" t="inlineStr">
        <is>
          <t>TBD</t>
        </is>
      </c>
      <c r="M34" s="4" t="inlineStr"/>
      <c r="N34" s="4" t="inlineStr"/>
      <c r="O34" s="4" t="inlineStr">
        <is>
          <t>Hypothesis</t>
        </is>
      </c>
      <c r="P34" s="4" t="inlineStr"/>
    </row>
  </sheetData>
  <autoFilter ref="A1:P34"/>
  <dataValidations count="4">
    <dataValidation sqref="I2:I400" showDropDown="0" showInputMessage="0" showErrorMessage="0" allowBlank="1" type="list">
      <formula1>"Must,Should,Could"</formula1>
    </dataValidation>
    <dataValidation sqref="J2:L400" showDropDown="0" showInputMessage="0" showErrorMessage="0" allowBlank="1" type="list">
      <formula1>"Native,Config,Custom,Gap,TBD"</formula1>
    </dataValidation>
    <dataValidation sqref="O2:O400" showDropDown="0" showInputMessage="0" showErrorMessage="0" allowBlank="1" type="list">
      <formula1>"Hypothesis,Validated,Changed,Dropped"</formula1>
    </dataValidation>
    <dataValidation sqref="M2:M400" showDropDown="0" showInputMessage="0" showErrorMessage="0" allowBlank="1" type="list">
      <formula1>"Y,N,TBD"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9" customWidth="1" min="4" max="4"/>
    <col width="70" customWidth="1" min="5" max="5"/>
    <col width="14" customWidth="1" min="6" max="6"/>
    <col width="10" customWidth="1" min="7" max="7"/>
    <col width="14" customWidth="1" min="8" max="8"/>
    <col width="20" customWidth="1" min="9" max="9"/>
    <col width="28" customWidth="1" min="10" max="10"/>
    <col width="18" customWidth="1" min="11" max="11"/>
  </cols>
  <sheetData>
    <row r="1" ht="32" customHeight="1">
      <c r="A1" s="3" t="inlineStr">
        <is>
          <t>Obs ID</t>
        </is>
      </c>
      <c r="B1" s="3" t="inlineStr">
        <is>
          <t>Date</t>
        </is>
      </c>
      <c r="C1" s="3" t="inlineStr">
        <is>
          <t>Site</t>
        </is>
      </c>
      <c r="D1" s="3" t="inlineStr">
        <is>
          <t>Session</t>
        </is>
      </c>
      <c r="E1" s="3" t="inlineStr">
        <is>
          <t>Observation (what we saw / heard)</t>
        </is>
      </c>
      <c r="F1" s="3" t="inlineStr">
        <is>
          <t>Type</t>
        </is>
      </c>
      <c r="G1" s="3" t="inlineStr">
        <is>
          <t>Impact</t>
        </is>
      </c>
      <c r="H1" s="3" t="inlineStr">
        <is>
          <t>Related Req ID</t>
        </is>
      </c>
      <c r="I1" s="3" t="inlineStr">
        <is>
          <t>Source person / role</t>
        </is>
      </c>
      <c r="J1" s="3" t="inlineStr">
        <is>
          <t>Follow-up needed</t>
        </is>
      </c>
      <c r="K1" s="3" t="inlineStr">
        <is>
          <t>Photo / artifact ref</t>
        </is>
      </c>
    </row>
    <row r="2">
      <c r="A2" s="4" t="inlineStr">
        <is>
          <t>OBS-001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</row>
  </sheetData>
  <autoFilter ref="A1:K2"/>
  <dataValidations count="3">
    <dataValidation sqref="F2:F500" showDropDown="0" showInputMessage="0" showErrorMessage="0" allowBlank="1" type="list">
      <formula1>"Pain point,Strength,Gap,Opportunity,Risk,Question"</formula1>
    </dataValidation>
    <dataValidation sqref="G2:G500" showDropDown="0" showInputMessage="0" showErrorMessage="0" allowBlank="1" type="list">
      <formula1>"High,Medium,Low"</formula1>
    </dataValidation>
    <dataValidation sqref="C2:C500" showDropDown="0" showInputMessage="0" showErrorMessage="0" allowBlank="1" type="list">
      <formula1>"SLO,Irvine"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55" customWidth="1" min="3" max="3"/>
    <col width="40" customWidth="1" min="4" max="4"/>
    <col width="18" customWidth="1" min="5" max="5"/>
    <col width="10" customWidth="1" min="6" max="6"/>
    <col width="10" customWidth="1" min="7" max="7"/>
    <col width="18" customWidth="1" min="8" max="8"/>
    <col width="14" customWidth="1" min="9" max="9"/>
    <col width="30" customWidth="1" min="10" max="10"/>
  </cols>
  <sheetData>
    <row r="1" ht="32" customHeight="1">
      <c r="A1" s="3" t="inlineStr">
        <is>
          <t>ID</t>
        </is>
      </c>
      <c r="B1" s="3" t="inlineStr">
        <is>
          <t>Process step</t>
        </is>
      </c>
      <c r="C1" s="3" t="inlineStr">
        <is>
          <t>Issue / pain point</t>
        </is>
      </c>
      <c r="D1" s="3" t="inlineStr">
        <is>
          <t>Proposed optimization</t>
        </is>
      </c>
      <c r="E1" s="3" t="inlineStr">
        <is>
          <t>Type (Config / Report / Custom / Process)</t>
        </is>
      </c>
      <c r="F1" s="3" t="inlineStr">
        <is>
          <t>Value (H/M/L)</t>
        </is>
      </c>
      <c r="G1" s="3" t="inlineStr">
        <is>
          <t>Effort (S/M/L)</t>
        </is>
      </c>
      <c r="H1" s="3" t="inlineStr">
        <is>
          <t>Owner (Crowe / Y-Hire / Ezurio)</t>
        </is>
      </c>
      <c r="I1" s="3" t="inlineStr">
        <is>
          <t>ADO work item #</t>
        </is>
      </c>
      <c r="J1" s="3" t="inlineStr">
        <is>
          <t>Notes</t>
        </is>
      </c>
    </row>
    <row r="2">
      <c r="A2" s="4" t="inlineStr">
        <is>
          <t>IRV-001</t>
        </is>
      </c>
      <c r="B2" s="4" t="inlineStr">
        <is>
          <t>Allocation</t>
        </is>
      </c>
      <c r="C2" s="4" t="inlineStr">
        <is>
          <t>Lines not fully committed / Special Order lines require manual reallocation before pick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>
        <is>
          <t>Validate frequency</t>
        </is>
      </c>
    </row>
    <row r="3">
      <c r="A3" s="4" t="inlineStr">
        <is>
          <t>IRV-002</t>
        </is>
      </c>
      <c r="B3" s="4" t="inlineStr">
        <is>
          <t>Pick</t>
        </is>
      </c>
      <c r="C3" s="4" t="inlineStr">
        <is>
          <t>Partial pick closes task → reverse pick required to re-pick when stock arrives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>
        <is>
          <t>Validate</t>
        </is>
      </c>
    </row>
    <row r="4">
      <c r="A4" s="4" t="inlineStr">
        <is>
          <t>IRV-003</t>
        </is>
      </c>
      <c r="B4" s="4" t="inlineStr">
        <is>
          <t>Issue</t>
        </is>
      </c>
      <c r="C4" s="4" t="inlineStr">
        <is>
          <t>Work Order Issue created manually; default inventory detail bin errors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>
        <is>
          <t>Who owns this step – QC vs. material handler?</t>
        </is>
      </c>
    </row>
    <row r="5">
      <c r="A5" s="4" t="inlineStr">
        <is>
          <t>IRV-004</t>
        </is>
      </c>
      <c r="B5" s="4" t="inlineStr">
        <is>
          <t>Production</t>
        </is>
      </c>
      <c r="C5" s="4" t="inlineStr">
        <is>
          <t>No control preventing a run from starting without sufficient material or standard cost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From Aug assessment</t>
        </is>
      </c>
    </row>
    <row r="6">
      <c r="A6" s="4" t="inlineStr">
        <is>
          <t>IRV-005</t>
        </is>
      </c>
      <c r="B6" s="4" t="inlineStr">
        <is>
          <t>Timekeeping</t>
        </is>
      </c>
      <c r="C6" s="4" t="inlineStr">
        <is>
          <t>Timekeeping gaps in Manufacturing Mobile vs. Ezurio requirements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>
        <is>
          <t>Capture the requirement list</t>
        </is>
      </c>
    </row>
    <row r="7">
      <c r="A7" s="4" t="inlineStr">
        <is>
          <t>IRV-006</t>
        </is>
      </c>
      <c r="B7" s="4" t="inlineStr">
        <is>
          <t>Quality</t>
        </is>
      </c>
      <c r="C7" s="4" t="inlineStr">
        <is>
          <t>RMA / rework / scrap tracked manually; QMS in SharePoint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>
      <c r="A8" s="4" t="inlineStr">
        <is>
          <t>IRV-007</t>
        </is>
      </c>
      <c r="B8" s="4" t="inlineStr">
        <is>
          <t>De-kit</t>
        </is>
      </c>
      <c r="C8" s="4" t="inlineStr">
        <is>
          <t>Post-production reconciliation via templates + imports (IA / bin transfer / inventory transfer)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>
        <is>
          <t>Quantify effort</t>
        </is>
      </c>
    </row>
    <row r="9">
      <c r="A9" s="4" t="inlineStr">
        <is>
          <t>IRV-008</t>
        </is>
      </c>
      <c r="B9" s="4" t="inlineStr">
        <is>
          <t>Automation</t>
        </is>
      </c>
      <c r="C9" s="4" t="inlineStr">
        <is>
          <t>Auto-Mark WOs Built workflow suspended 10/1 (error: BOM not defined for assembly item, WO 2447441)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>
        <is>
          <t>Why suspended? How are WOs closed now?</t>
        </is>
      </c>
    </row>
  </sheetData>
  <autoFilter ref="A1:J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0" customWidth="1" min="3" max="3"/>
    <col width="40" customWidth="1" min="4" max="4"/>
    <col width="16" customWidth="1" min="5" max="5"/>
    <col width="16" customWidth="1" min="6" max="6"/>
    <col width="12" customWidth="1" min="7" max="7"/>
    <col width="12" customWidth="1" min="8" max="8"/>
    <col width="24" customWidth="1" min="9" max="9"/>
    <col width="36" customWidth="1" min="10" max="10"/>
    <col width="10" customWidth="1" min="11" max="11"/>
  </cols>
  <sheetData>
    <row r="1" ht="32" customHeight="1">
      <c r="A1" s="3" t="inlineStr">
        <is>
          <t>#</t>
        </is>
      </c>
      <c r="B1" s="3" t="inlineStr">
        <is>
          <t>GWTrack capability</t>
        </is>
      </c>
      <c r="C1" s="3" t="inlineStr">
        <is>
          <t>Demo'd? (Y/N)</t>
        </is>
      </c>
      <c r="D1" s="3" t="inlineStr">
        <is>
          <t>How it works today (brief)</t>
        </is>
      </c>
      <c r="E1" s="3" t="inlineStr">
        <is>
          <t>Automated vs. manual</t>
        </is>
      </c>
      <c r="F1" s="3" t="inlineStr">
        <is>
          <t>Used by (role)</t>
        </is>
      </c>
      <c r="G1" s="3" t="inlineStr">
        <is>
          <t>Frequency of use</t>
        </is>
      </c>
      <c r="H1" s="3" t="inlineStr">
        <is>
          <t>Business-critical? (Y/N)</t>
        </is>
      </c>
      <c r="I1" s="3" t="inlineStr">
        <is>
          <t>Where should it live? (GWTrack / NetSuite / Arena / MES / Retire)</t>
        </is>
      </c>
      <c r="J1" s="3" t="inlineStr">
        <is>
          <t>Gap / risk in alternatives</t>
        </is>
      </c>
      <c r="K1" s="3" t="inlineStr">
        <is>
          <t>Req ID</t>
        </is>
      </c>
    </row>
    <row r="2">
      <c r="A2" s="4" t="n">
        <v>1</v>
      </c>
      <c r="B2" s="4" t="inlineStr">
        <is>
          <t>Job / work order creation &amp; release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</row>
    <row r="3">
      <c r="A3" s="4" t="n">
        <v>2</v>
      </c>
      <c r="B3" s="4" t="inlineStr">
        <is>
          <t>Routing / operation sequencing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</row>
    <row r="4">
      <c r="A4" s="4" t="n">
        <v>3</v>
      </c>
      <c r="B4" s="4" t="inlineStr">
        <is>
          <t>Work instructions / document display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>
      <c r="A5" s="4" t="n">
        <v>4</v>
      </c>
      <c r="B5" s="4" t="inlineStr">
        <is>
          <t>Station scanning / operator transactions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4" t="n">
        <v>5</v>
      </c>
      <c r="B6" s="4" t="inlineStr">
        <is>
          <t>Material availability check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4" t="n">
        <v>6</v>
      </c>
      <c r="B7" s="4" t="inlineStr">
        <is>
          <t>Kitting / component issue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>
      <c r="A8" s="4" t="n">
        <v>7</v>
      </c>
      <c r="B8" s="4" t="inlineStr">
        <is>
          <t>Backflush / consumption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4" t="n">
        <v>8</v>
      </c>
      <c r="B9" s="4" t="inlineStr">
        <is>
          <t>Lot / serial genealogy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4" t="n">
        <v>9</v>
      </c>
      <c r="B10" s="4" t="inlineStr">
        <is>
          <t>Test data capture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4" t="n">
        <v>10</v>
      </c>
      <c r="B11" s="4" t="inlineStr">
        <is>
          <t>Defect capture &amp; coded reasons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n">
        <v>11</v>
      </c>
      <c r="B12" s="4" t="inlineStr">
        <is>
          <t>Defect heatmaps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4" t="n">
        <v>12</v>
      </c>
      <c r="B13" s="4" t="inlineStr">
        <is>
          <t>NCR / rework / scrap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4" t="n">
        <v>13</v>
      </c>
      <c r="B14" s="4" t="inlineStr">
        <is>
          <t>RMA handling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4" t="n">
        <v>14</v>
      </c>
      <c r="B15" s="4" t="inlineStr">
        <is>
          <t>CAPA / 8D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4" t="n">
        <v>15</v>
      </c>
      <c r="B16" s="4" t="inlineStr">
        <is>
          <t>Labor / time capture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>
      <c r="A17" s="4" t="n">
        <v>16</v>
      </c>
      <c r="B17" s="4" t="inlineStr">
        <is>
          <t>WIP tracking &amp; visibility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4" t="n">
        <v>17</v>
      </c>
      <c r="B18" s="4" t="inlineStr">
        <is>
          <t>Inventory transactions to NetSuite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4" t="n">
        <v>18</v>
      </c>
      <c r="B19" s="4" t="inlineStr">
        <is>
          <t>Cost / variance data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>
      <c r="A20" s="4" t="n">
        <v>19</v>
      </c>
      <c r="B20" s="4" t="inlineStr">
        <is>
          <t>Label printing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4" t="n">
        <v>20</v>
      </c>
      <c r="B21" s="4" t="inlineStr">
        <is>
          <t>Equipment / test-station integration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4" t="n">
        <v>21</v>
      </c>
      <c r="B22" s="4" t="inlineStr">
        <is>
          <t>Dashboards / reports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>
      <c r="A23" s="4" t="n">
        <v>22</v>
      </c>
      <c r="B23" s="4" t="inlineStr">
        <is>
          <t>User roles &amp; permissions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4" t="n">
        <v>23</v>
      </c>
      <c r="B24" s="4" t="inlineStr">
        <is>
          <t>Audit trail / e-records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4" t="n">
        <v>24</v>
      </c>
      <c r="B25" s="4" t="inlineStr">
        <is>
          <t>Arena / BOM-ECO interface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</row>
  </sheetData>
  <autoFilter ref="A1:K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18" customWidth="1" min="3" max="3"/>
    <col width="22" customWidth="1" min="4" max="4"/>
    <col width="24" customWidth="1" min="5" max="5"/>
    <col width="50" customWidth="1" min="6" max="6"/>
  </cols>
  <sheetData>
    <row r="1">
      <c r="A1" s="5" t="inlineStr">
        <is>
          <t>Criteria weights sum to 100. Score each option 1 (poor) – 5 (excellent) after the onsite. Weighted score = SUMPRODUCT(weight, score)/100.</t>
        </is>
      </c>
    </row>
    <row r="3">
      <c r="A3" s="6" t="inlineStr">
        <is>
          <t>Criterion</t>
        </is>
      </c>
      <c r="B3" s="6" t="inlineStr">
        <is>
          <t>Weight</t>
        </is>
      </c>
      <c r="C3" s="6" t="inlineStr">
        <is>
          <t>A: Extend GWTrack</t>
        </is>
      </c>
      <c r="D3" s="6" t="inlineStr">
        <is>
          <t>B: Mfg Mobile / Adv Mfg</t>
        </is>
      </c>
      <c r="E3" s="6" t="inlineStr">
        <is>
          <t>C: 3rd-party MES / SuiteApp</t>
        </is>
      </c>
      <c r="F3" s="6" t="inlineStr">
        <is>
          <t>Basis / evidence</t>
        </is>
      </c>
    </row>
    <row r="4">
      <c r="A4" s="4" t="inlineStr">
        <is>
          <t>Work execution &amp; traceability fit</t>
        </is>
      </c>
      <c r="B4" s="4" t="n">
        <v>15</v>
      </c>
      <c r="C4" s="4" t="n"/>
      <c r="D4" s="4" t="n"/>
      <c r="E4" s="4" t="n"/>
      <c r="F4" s="4" t="inlineStr"/>
    </row>
    <row r="5">
      <c r="A5" s="4" t="inlineStr">
        <is>
          <t>Material availability / process control</t>
        </is>
      </c>
      <c r="B5" s="4" t="n">
        <v>10</v>
      </c>
      <c r="C5" s="4" t="n"/>
      <c r="D5" s="4" t="n"/>
      <c r="E5" s="4" t="n"/>
      <c r="F5" s="4" t="inlineStr"/>
    </row>
    <row r="6">
      <c r="A6" s="4" t="inlineStr">
        <is>
          <t>Standard cost enforcement</t>
        </is>
      </c>
      <c r="B6" s="4" t="n">
        <v>5</v>
      </c>
      <c r="C6" s="4" t="n"/>
      <c r="D6" s="4" t="n"/>
      <c r="E6" s="4" t="n"/>
      <c r="F6" s="4" t="inlineStr"/>
    </row>
    <row r="7">
      <c r="A7" s="4" t="inlineStr">
        <is>
          <t>Timekeeping / labor</t>
        </is>
      </c>
      <c r="B7" s="4" t="n">
        <v>10</v>
      </c>
      <c r="C7" s="4" t="n"/>
      <c r="D7" s="4" t="n"/>
      <c r="E7" s="4" t="n"/>
      <c r="F7" s="4" t="inlineStr"/>
    </row>
    <row r="8">
      <c r="A8" s="4" t="inlineStr">
        <is>
          <t>Quality tracking (defects, NCR, RMA, CAPA)</t>
        </is>
      </c>
      <c r="B8" s="4" t="n">
        <v>15</v>
      </c>
      <c r="C8" s="4" t="n"/>
      <c r="D8" s="4" t="n"/>
      <c r="E8" s="4" t="n"/>
      <c r="F8" s="4" t="inlineStr"/>
    </row>
    <row r="9">
      <c r="A9" s="4" t="inlineStr">
        <is>
          <t>ITAR / CUI &amp; compliance fit</t>
        </is>
      </c>
      <c r="B9" s="4" t="n">
        <v>15</v>
      </c>
      <c r="C9" s="4" t="n"/>
      <c r="D9" s="4" t="n"/>
      <c r="E9" s="4" t="n"/>
      <c r="F9" s="4" t="inlineStr"/>
    </row>
    <row r="10">
      <c r="A10" s="4" t="inlineStr">
        <is>
          <t>Automation &amp; performance retained</t>
        </is>
      </c>
      <c r="B10" s="4" t="n">
        <v>10</v>
      </c>
      <c r="C10" s="4" t="n"/>
      <c r="D10" s="4" t="n"/>
      <c r="E10" s="4" t="n"/>
      <c r="F10" s="4" t="inlineStr"/>
    </row>
    <row r="11">
      <c r="A11" s="4" t="inlineStr">
        <is>
          <t>Integration with NetSuite / Arena</t>
        </is>
      </c>
      <c r="B11" s="4" t="n">
        <v>10</v>
      </c>
      <c r="C11" s="4" t="n"/>
      <c r="D11" s="4" t="n"/>
      <c r="E11" s="4" t="n"/>
      <c r="F11" s="4" t="inlineStr"/>
    </row>
    <row r="12">
      <c r="A12" s="4" t="inlineStr">
        <is>
          <t>Scalability / supportability</t>
        </is>
      </c>
      <c r="B12" s="4" t="n">
        <v>5</v>
      </c>
      <c r="C12" s="4" t="n"/>
      <c r="D12" s="4" t="n"/>
      <c r="E12" s="4" t="n"/>
      <c r="F12" s="4" t="inlineStr"/>
    </row>
    <row r="13">
      <c r="A13" s="4" t="inlineStr">
        <is>
          <t>Estimated effort &amp; risk of implementation</t>
        </is>
      </c>
      <c r="B13" s="4" t="n">
        <v>5</v>
      </c>
      <c r="C13" s="4" t="n"/>
      <c r="D13" s="4" t="n"/>
      <c r="E13" s="4" t="n"/>
      <c r="F13" s="4" t="inlineStr"/>
    </row>
    <row r="14">
      <c r="A14" s="7" t="inlineStr">
        <is>
          <t>TOTAL</t>
        </is>
      </c>
      <c r="B14" s="7">
        <f>SUM(B4:B13)</f>
        <v/>
      </c>
      <c r="C14" s="7">
        <f>SUMPRODUCT($B$4:$B$13,C4:C13)/100</f>
        <v/>
      </c>
      <c r="D14" s="7">
        <f>SUMPRODUCT($B$4:$B$13,D4:D13)/100</f>
        <v/>
      </c>
      <c r="E14" s="7">
        <f>SUMPRODUCT($B$4:$B$13,E4:E13)/100</f>
        <v/>
      </c>
      <c r="F14" s="7" t="inlineStr"/>
    </row>
  </sheetData>
  <dataValidations count="1">
    <dataValidation sqref="C4:E1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0" customWidth="1" min="2" max="2"/>
    <col width="32" customWidth="1" min="3" max="3"/>
    <col width="14" customWidth="1" min="4" max="4"/>
    <col width="10" customWidth="1" min="5" max="5"/>
  </cols>
  <sheetData>
    <row r="1" ht="32" customHeight="1">
      <c r="A1" s="3" t="inlineStr">
        <is>
          <t>ID</t>
        </is>
      </c>
      <c r="B1" s="3" t="inlineStr">
        <is>
          <t>Item</t>
        </is>
      </c>
      <c r="C1" s="3" t="inlineStr">
        <is>
          <t>Owner</t>
        </is>
      </c>
      <c r="D1" s="3" t="inlineStr">
        <is>
          <t>Due</t>
        </is>
      </c>
      <c r="E1" s="3" t="inlineStr">
        <is>
          <t>Status</t>
        </is>
      </c>
    </row>
    <row r="2">
      <c r="A2" s="4" t="inlineStr">
        <is>
          <t>OI-001</t>
        </is>
      </c>
      <c r="B2" s="4" t="inlineStr">
        <is>
          <t>Confirm ITAR/CUI scope and what may be shared with non-US Crowe personnel (incl. Y-Hire / international staff)</t>
        </is>
      </c>
      <c r="C2" s="4" t="inlineStr">
        <is>
          <t>Ezurio compliance / David England</t>
        </is>
      </c>
      <c r="D2" s="4" t="inlineStr">
        <is>
          <t>Before 10/19</t>
        </is>
      </c>
      <c r="E2" s="4" t="inlineStr">
        <is>
          <t>Open</t>
        </is>
      </c>
    </row>
    <row r="3">
      <c r="A3" s="4" t="inlineStr">
        <is>
          <t>OI-002</t>
        </is>
      </c>
      <c r="B3" s="4" t="inlineStr">
        <is>
          <t>Confirm 'Jason' – role and written MES objectives</t>
        </is>
      </c>
      <c r="C3" s="4" t="inlineStr">
        <is>
          <t>David England</t>
        </is>
      </c>
      <c r="D3" s="4" t="inlineStr">
        <is>
          <t>Before 10/19</t>
        </is>
      </c>
      <c r="E3" s="4" t="inlineStr">
        <is>
          <t>Open</t>
        </is>
      </c>
    </row>
    <row r="4">
      <c r="A4" s="4" t="inlineStr">
        <is>
          <t>OI-003</t>
        </is>
      </c>
      <c r="B4" s="4" t="inlineStr">
        <is>
          <t>Confirm attendee names/roles for each session (agenda placeholders)</t>
        </is>
      </c>
      <c r="C4" s="4" t="inlineStr">
        <is>
          <t>David England</t>
        </is>
      </c>
      <c r="D4" s="4" t="inlineStr">
        <is>
          <t>Before 10/16</t>
        </is>
      </c>
      <c r="E4" s="4" t="inlineStr">
        <is>
          <t>Open</t>
        </is>
      </c>
    </row>
    <row r="5">
      <c r="A5" s="4" t="inlineStr">
        <is>
          <t>OI-004</t>
        </is>
      </c>
      <c r="B5" s="4" t="inlineStr">
        <is>
          <t>Pull current Irvine backlog from Azure DevOps (needs ADO org/project/PAT)</t>
        </is>
      </c>
      <c r="C5" s="4" t="inlineStr">
        <is>
          <t>Jordan Piatek</t>
        </is>
      </c>
      <c r="D5" s="4" t="inlineStr">
        <is>
          <t>Before 10/19</t>
        </is>
      </c>
      <c r="E5" s="4" t="inlineStr">
        <is>
          <t>Open</t>
        </is>
      </c>
    </row>
    <row r="6">
      <c r="A6" s="4" t="inlineStr">
        <is>
          <t>OI-005</t>
        </is>
      </c>
      <c r="B6" s="4" t="inlineStr">
        <is>
          <t>Confirm Y-Hire (Hana, Kyle) availability for Wed 10/21 AM given India working hours</t>
        </is>
      </c>
      <c r="C6" s="4" t="inlineStr">
        <is>
          <t>Jordan Piatek</t>
        </is>
      </c>
      <c r="D6" s="4" t="inlineStr">
        <is>
          <t>Before 10/16</t>
        </is>
      </c>
      <c r="E6" s="4" t="inlineStr">
        <is>
          <t>Open</t>
        </is>
      </c>
    </row>
    <row r="7">
      <c r="A7" s="4" t="inlineStr">
        <is>
          <t>OI-006</t>
        </is>
      </c>
      <c r="B7" s="4" t="inlineStr">
        <is>
          <t>Coverage for Tue 10/20 (Grant PTO) – Rohit leading technical sessions</t>
        </is>
      </c>
      <c r="C7" s="4" t="inlineStr">
        <is>
          <t>Jordan / Grant</t>
        </is>
      </c>
      <c r="D7" s="4" t="inlineStr">
        <is>
          <t>Before 10/19</t>
        </is>
      </c>
      <c r="E7" s="4" t="inlineStr">
        <is>
          <t>Open</t>
        </is>
      </c>
    </row>
    <row r="8">
      <c r="A8" s="4" t="inlineStr">
        <is>
          <t>OI-007</t>
        </is>
      </c>
      <c r="B8" s="4" t="inlineStr">
        <is>
          <t>Plan for draft distribution while Jordan is on PTO Oct 23 – Nov 2</t>
        </is>
      </c>
      <c r="C8" s="4" t="inlineStr">
        <is>
          <t>Jordan / Grant / Sohaa</t>
        </is>
      </c>
      <c r="D8" s="4" t="inlineStr">
        <is>
          <t>10/21</t>
        </is>
      </c>
      <c r="E8" s="4" t="inlineStr">
        <is>
          <t>Open</t>
        </is>
      </c>
    </row>
    <row r="9">
      <c r="A9" s="4" t="inlineStr">
        <is>
          <t>OI-008</t>
        </is>
      </c>
      <c r="B9" s="4" t="inlineStr">
        <is>
          <t>Data request sent to Ezurio (last page of the client agenda)</t>
        </is>
      </c>
      <c r="C9" s="4" t="inlineStr">
        <is>
          <t>Jordan Piatek</t>
        </is>
      </c>
      <c r="D9" s="4" t="inlineStr">
        <is>
          <t>10/9</t>
        </is>
      </c>
      <c r="E9" s="4" t="inlineStr">
        <is>
          <t>Open</t>
        </is>
      </c>
    </row>
    <row r="10">
      <c r="A10" s="4" t="inlineStr">
        <is>
          <t>OI-010</t>
        </is>
      </c>
      <c r="B10" s="4" t="inlineStr">
        <is>
          <t>Agenda fix: Day 2 session 2.3 still starts 12:45 but lunch now runs 12:00–1:00 – confirm 2.3 = 1:00–2:45</t>
        </is>
      </c>
      <c r="C10" s="4" t="inlineStr">
        <is>
          <t>Jordan Piatek</t>
        </is>
      </c>
      <c r="D10" s="4" t="inlineStr">
        <is>
          <t>Before sending agenda</t>
        </is>
      </c>
      <c r="E10" s="4" t="inlineStr">
        <is>
          <t>Open</t>
        </is>
      </c>
    </row>
    <row r="11">
      <c r="A11" s="4" t="inlineStr">
        <is>
          <t>OI-009</t>
        </is>
      </c>
      <c r="B11" s="4" t="inlineStr">
        <is>
          <t>Confirm why Auto-Mark WOs Built workflow was suspended 10/1 and current WO closing process</t>
        </is>
      </c>
      <c r="C11" s="4" t="inlineStr">
        <is>
          <t>Trevor Kanwal / Ezurio</t>
        </is>
      </c>
      <c r="D11" s="4" t="inlineStr">
        <is>
          <t>Before 10/21</t>
        </is>
      </c>
      <c r="E11" s="4" t="inlineStr">
        <is>
          <t>Open</t>
        </is>
      </c>
    </row>
  </sheetData>
  <autoFilter ref="A1:E11"/>
  <dataValidations count="1">
    <dataValidation sqref="E2:E300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2026-10-05T17:55:41Z</dcterms:created>
  <dcterms:modified xmlns:dcterms="http://purl.org/dc/terms/" xmlns:xsi="http://www.w3.org/2001/XMLSchema-instance" xsi:type="dcterms:W3CDTF">2026-10-05T17:55:41Z</dcterms:modified>
</cp:coreProperties>
</file>